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BOM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<sst xmlns="http://schemas.openxmlformats.org/spreadsheetml/2006/main" count="53" uniqueCount="41">
  <si>
    <t>주문번호</t>
  </si>
  <si>
    <t>제품코드</t>
  </si>
  <si>
    <t>수량</t>
  </si>
  <si>
    <t>단위</t>
  </si>
  <si>
    <t>단가</t>
  </si>
  <si>
    <t>금액</t>
  </si>
  <si>
    <t>주문일</t>
  </si>
  <si>
    <t>납기일</t>
  </si>
  <si>
    <t>비고</t>
  </si>
  <si>
    <t>SO260101</t>
  </si>
  <si>
    <t>FG001</t>
  </si>
  <si>
    <t>EA</t>
  </si>
  <si>
    <t>SO260102</t>
  </si>
  <si>
    <t>FG002</t>
  </si>
  <si>
    <t>30</t>
  </si>
  <si>
    <t>수량이 문자열로 저장됨</t>
  </si>
  <si>
    <t>SO260103</t>
  </si>
  <si>
    <t>FG003</t>
  </si>
  <si>
    <t>1O50</t>
  </si>
  <si>
    <t>잘못된 수량 (영문자 O)</t>
  </si>
  <si>
    <t>SO260104</t>
  </si>
  <si>
    <t>SF001</t>
  </si>
  <si>
    <t>숨긴 행</t>
  </si>
  <si>
    <t>SO260105</t>
  </si>
  <si>
    <t>단가 빈 셀</t>
  </si>
  <si>
    <t>합계 (수식 결과는 캐시값)</t>
  </si>
  <si>
    <t>구성품</t>
  </si>
  <si>
    <t>소요량</t>
  </si>
  <si>
    <t>코드</t>
  </si>
  <si>
    <t>명칭</t>
  </si>
  <si>
    <t>FG001 V1</t>
  </si>
  <si>
    <t>M001</t>
  </si>
  <si>
    <t>강판</t>
  </si>
  <si>
    <t>kg</t>
  </si>
  <si>
    <t>M006</t>
  </si>
  <si>
    <t>전원 케이블</t>
  </si>
  <si>
    <t>제품명</t>
  </si>
  <si>
    <t>안전재고</t>
  </si>
  <si>
    <t>가정용 히터 A</t>
  </si>
  <si>
    <t>가정용 히터 B</t>
  </si>
  <si>
    <t>산업용 송풍기 C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</si>
</sst>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9" max="9" width="0" hidden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50</v>
      </c>
      <c r="D2" t="s">
        <v>11</v>
      </c>
      <c r="E2" s="1">
        <v>120000</v>
      </c>
      <c r="F2" s="1">
        <f>C2*E2</f>
        <v>0</v>
      </c>
      <c r="G2" s="2">
        <v>46336</v>
      </c>
      <c r="H2" s="2">
        <v>46351</v>
      </c>
    </row>
    <row r="3" spans="1:9">
      <c r="A3" t="s">
        <v>12</v>
      </c>
      <c r="B3" t="s">
        <v>13</v>
      </c>
      <c r="C3" t="s">
        <v>14</v>
      </c>
      <c r="D3" t="s">
        <v>11</v>
      </c>
      <c r="E3" s="1">
        <v>95000</v>
      </c>
      <c r="F3" s="1">
        <f>C3*E3</f>
        <v>0</v>
      </c>
      <c r="G3" s="2">
        <v>46337</v>
      </c>
      <c r="H3" s="2">
        <v>46354</v>
      </c>
      <c r="I3" t="s">
        <v>15</v>
      </c>
    </row>
    <row r="4" spans="1:9">
      <c r="A4" t="s">
        <v>16</v>
      </c>
      <c r="B4" t="s">
        <v>17</v>
      </c>
      <c r="C4" t="s">
        <v>18</v>
      </c>
      <c r="D4" t="s">
        <v>11</v>
      </c>
      <c r="E4" s="1">
        <v>210000</v>
      </c>
      <c r="F4" s="1">
        <f>C4*E4</f>
        <v>0</v>
      </c>
      <c r="G4" s="2">
        <v>46338</v>
      </c>
      <c r="H4" s="2">
        <v>46358</v>
      </c>
      <c r="I4" t="s">
        <v>19</v>
      </c>
    </row>
    <row r="5" spans="1:9" hidden="1">
      <c r="A5" t="s">
        <v>20</v>
      </c>
      <c r="B5" t="s">
        <v>21</v>
      </c>
      <c r="C5">
        <v>120</v>
      </c>
      <c r="D5" t="s">
        <v>11</v>
      </c>
      <c r="E5" s="1">
        <v>40000</v>
      </c>
      <c r="F5" s="1">
        <f>C5*E5</f>
        <v>0</v>
      </c>
      <c r="G5" s="2">
        <v>46339</v>
      </c>
      <c r="H5" s="2">
        <v>46356</v>
      </c>
      <c r="I5" t="s">
        <v>22</v>
      </c>
    </row>
    <row r="6" spans="1:9">
      <c r="A6" t="s">
        <v>23</v>
      </c>
      <c r="B6" t="s">
        <v>10</v>
      </c>
      <c r="C6">
        <v>15</v>
      </c>
      <c r="D6" t="s">
        <v>11</v>
      </c>
      <c r="F6" s="1">
        <f>C6*E6</f>
        <v>0</v>
      </c>
      <c r="G6" s="2">
        <v>46340</v>
      </c>
      <c r="H6" s="2">
        <v>46357</v>
      </c>
      <c r="I6" t="s">
        <v>24</v>
      </c>
    </row>
    <row r="8" spans="1:9">
      <c r="A8" t="s">
        <v>25</v>
      </c>
      <c r="F8" s="1">
        <f>SUM(F2,F3,F5,F6)</f>
        <v>0</v>
      </c>
    </row>
  </sheetData>
  <mergeCells count="1"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26</v>
      </c>
      <c r="C1" t="s">
        <v>27</v>
      </c>
    </row>
    <row r="2" spans="1:5">
      <c r="A2" t="s">
        <v>28</v>
      </c>
      <c r="B2" t="s">
        <v>29</v>
      </c>
      <c r="C2" t="s">
        <v>2</v>
      </c>
      <c r="D2" t="s">
        <v>3</v>
      </c>
    </row>
    <row r="3" spans="1:5">
      <c r="A3" t="s">
        <v>31</v>
      </c>
      <c r="B3" t="s">
        <v>32</v>
      </c>
      <c r="C3">
        <v>1.2</v>
      </c>
      <c r="D3" t="s">
        <v>33</v>
      </c>
      <c r="E3" t="s">
        <v>30</v>
      </c>
    </row>
    <row r="4" spans="1:5">
      <c r="A4" t="s">
        <v>34</v>
      </c>
      <c r="B4" t="s">
        <v>35</v>
      </c>
      <c r="C4">
        <v>1</v>
      </c>
      <c r="D4" t="s">
        <v>11</v>
      </c>
    </row>
  </sheetData>
  <mergeCells count="3">
    <mergeCell ref="A1:B1"/>
    <mergeCell ref="C1:D1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</v>
      </c>
      <c r="B1" t="s">
        <v>36</v>
      </c>
      <c r="C1" t="s">
        <v>37</v>
      </c>
    </row>
    <row r="2" spans="1:3">
      <c r="A2" t="s">
        <v>10</v>
      </c>
      <c r="B2" t="s">
        <v>38</v>
      </c>
      <c r="C2">
        <v>50</v>
      </c>
    </row>
    <row r="3" spans="1:3">
      <c r="A3" t="s">
        <v>13</v>
      </c>
      <c r="B3" t="s">
        <v>39</v>
      </c>
      <c r="C3">
        <v>30</v>
      </c>
    </row>
    <row r="4" spans="1:3">
      <c r="A4" t="s">
        <v>17</v>
      </c>
      <c r="B4" t="s">
        <v>40</v>
      </c>
      <c r="C4">
        <v>40</v>
      </c>
    </row>
    <row r="5" spans="1:3">
      <c r="C5">
        <f>SUM(C2:C4)</f>
        <v>0</v>
      </c>
    </row>
    <row r="6" spans="1:3">
      <c r="C6">
        <f>Orders!C2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BOM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E12 synthetic orders</dc:title>
  <dc:creator>chungpamo-poc (synthetic)</dc:creator>
  <cp:lastModifiedBy>chungpamo-poc (synthetic)</cp:lastModifiedBy>
  <dcterms:created xsi:type="dcterms:W3CDTF">2026-10-23T09:00:00Z</dcterms:created>
  <dcterms:modified xsi:type="dcterms:W3CDTF">2026-10-23T09:00:00Z</dcterms:modified>
</cp:coreProperties>
</file>